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05" windowWidth="14115" windowHeight="11805"/>
  </bookViews>
  <sheets>
    <sheet name="Summary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6" i="1"/>
  <c r="B15"/>
  <c r="B14"/>
  <c r="B13"/>
</calcChain>
</file>

<file path=xl/sharedStrings.xml><?xml version="1.0" encoding="utf-8"?>
<sst xmlns="http://schemas.openxmlformats.org/spreadsheetml/2006/main" count="49" uniqueCount="39">
  <si>
    <t>KPI</t>
  </si>
  <si>
    <t>Value</t>
  </si>
  <si>
    <t>Total Payments</t>
  </si>
  <si>
    <t>Total Payment Amount</t>
  </si>
  <si>
    <t>Matched Transactions</t>
  </si>
  <si>
    <t>Amount Mismatches</t>
  </si>
  <si>
    <t>Missing Settlements</t>
  </si>
  <si>
    <t>Total Mismatch Amount</t>
  </si>
  <si>
    <t>Unmatched Settlements</t>
  </si>
  <si>
    <t>Duplicate Settlement Records</t>
  </si>
  <si>
    <t>Duplicate Orders</t>
  </si>
  <si>
    <t>Reconciliation Rate</t>
  </si>
  <si>
    <t>Exception Rate</t>
  </si>
  <si>
    <t>Status</t>
  </si>
  <si>
    <t>Count</t>
  </si>
  <si>
    <t>MATCHED</t>
  </si>
  <si>
    <t>AMOUNT MISMATCH</t>
  </si>
  <si>
    <t>MISSING SETTLEMENT</t>
  </si>
  <si>
    <t>Exception Type</t>
  </si>
  <si>
    <t>Amount Mismatch</t>
  </si>
  <si>
    <t>Missing Settlement</t>
  </si>
  <si>
    <t>Unmatched Settlement</t>
  </si>
  <si>
    <t>Duplicate Settlement</t>
  </si>
  <si>
    <t>Average Mismatch Amount</t>
  </si>
  <si>
    <t>Payment Reconciliation Dashboard</t>
  </si>
  <si>
    <t>Payment vs Settlement Analysis</t>
  </si>
  <si>
    <t>Key Findings</t>
  </si>
  <si>
    <t>• 90% of payment transactions were successfully reconciled.</t>
  </si>
  <si>
    <t>• 10% of transactions require further investigation.</t>
  </si>
  <si>
    <t>• 6 transactions had amount mismatches totaling ₹600.</t>
  </si>
  <si>
    <t>• 6 transactions had missing settlements.</t>
  </si>
  <si>
    <t>• 5 settlement records had no matching payment.</t>
  </si>
  <si>
    <t>• 2 duplicate settlement records were identified.</t>
  </si>
  <si>
    <t>Unmatched Settlement Amount</t>
  </si>
  <si>
    <t>Financial Exception</t>
  </si>
  <si>
    <t>Amount</t>
  </si>
  <si>
    <t>Payment Amount After Amount Mismatches</t>
  </si>
  <si>
    <t>Conclusion</t>
  </si>
  <si>
    <t>The reconciliation analysis identified a 90% reconciliation rate. The remaining transactions contained amount mismatches or missing settlements. Additional settlement-side checks identified unmatched and duplicate records that require further investigation.</t>
  </si>
</sst>
</file>

<file path=xl/styles.xml><?xml version="1.0" encoding="utf-8"?>
<styleSheet xmlns="http://schemas.openxmlformats.org/spreadsheetml/2006/main">
  <numFmts count="2">
    <numFmt numFmtId="6" formatCode="&quot;₹&quot;\ #,##0;[Red]&quot;₹&quot;\ \-#,##0"/>
    <numFmt numFmtId="164" formatCode="&quot;₹&quot;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1" fillId="0" borderId="1" xfId="0" applyFont="1" applyBorder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2" xfId="0" applyFont="1" applyBorder="1"/>
    <xf numFmtId="0" fontId="5" fillId="0" borderId="3" xfId="0" applyFont="1" applyBorder="1"/>
    <xf numFmtId="9" fontId="5" fillId="0" borderId="3" xfId="0" applyNumberFormat="1" applyFont="1" applyBorder="1"/>
    <xf numFmtId="6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Reconciliation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Summary!$D$4:$D$6</c:f>
              <c:strCache>
                <c:ptCount val="3"/>
                <c:pt idx="0">
                  <c:v>MATCHED</c:v>
                </c:pt>
                <c:pt idx="1">
                  <c:v>AMOUNT MISMATCH</c:v>
                </c:pt>
                <c:pt idx="2">
                  <c:v>MISSING SETTLEMENT</c:v>
                </c:pt>
              </c:strCache>
            </c:strRef>
          </c:cat>
          <c:val>
            <c:numRef>
              <c:f>Summary!$E$4:$E$6</c:f>
              <c:numCache>
                <c:formatCode>General</c:formatCode>
                <c:ptCount val="3"/>
                <c:pt idx="0">
                  <c:v>108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</c:ser>
        <c:axId val="152184320"/>
        <c:axId val="152185856"/>
      </c:barChart>
      <c:catAx>
        <c:axId val="152184320"/>
        <c:scaling>
          <c:orientation val="minMax"/>
        </c:scaling>
        <c:axPos val="b"/>
        <c:majorTickMark val="none"/>
        <c:tickLblPos val="nextTo"/>
        <c:crossAx val="152185856"/>
        <c:crosses val="autoZero"/>
        <c:auto val="1"/>
        <c:lblAlgn val="ctr"/>
        <c:lblOffset val="100"/>
      </c:catAx>
      <c:valAx>
        <c:axId val="15218585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21843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Exception Analysis   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Summary!$D$10:$D$13</c:f>
              <c:strCache>
                <c:ptCount val="4"/>
                <c:pt idx="0">
                  <c:v>Amount Mismatch</c:v>
                </c:pt>
                <c:pt idx="1">
                  <c:v>Missing Settlement</c:v>
                </c:pt>
                <c:pt idx="2">
                  <c:v>Unmatched Settlement</c:v>
                </c:pt>
                <c:pt idx="3">
                  <c:v>Duplicate Settlement</c:v>
                </c:pt>
              </c:strCache>
            </c:strRef>
          </c:cat>
          <c:val>
            <c:numRef>
              <c:f>Summary!$E$10:$E$13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</c:ser>
        <c:axId val="152214528"/>
        <c:axId val="152232704"/>
      </c:barChart>
      <c:catAx>
        <c:axId val="152214528"/>
        <c:scaling>
          <c:orientation val="minMax"/>
        </c:scaling>
        <c:axPos val="b"/>
        <c:majorTickMark val="none"/>
        <c:tickLblPos val="nextTo"/>
        <c:crossAx val="152232704"/>
        <c:crosses val="autoZero"/>
        <c:auto val="1"/>
        <c:lblAlgn val="ctr"/>
        <c:lblOffset val="100"/>
      </c:catAx>
      <c:valAx>
        <c:axId val="15223270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22145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104775</xdr:rowOff>
    </xdr:from>
    <xdr:to>
      <xdr:col>11</xdr:col>
      <xdr:colOff>523875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581025</xdr:colOff>
      <xdr:row>0</xdr:row>
      <xdr:rowOff>285750</xdr:rowOff>
    </xdr:from>
    <xdr:to>
      <xdr:col>18</xdr:col>
      <xdr:colOff>495300</xdr:colOff>
      <xdr:row>16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topLeftCell="B4" workbookViewId="0">
      <selection activeCell="D29" sqref="D29"/>
    </sheetView>
  </sheetViews>
  <sheetFormatPr defaultRowHeight="15"/>
  <cols>
    <col min="1" max="1" width="43" customWidth="1"/>
    <col min="2" max="2" width="14.140625" customWidth="1"/>
    <col min="4" max="4" width="34.42578125" customWidth="1"/>
    <col min="5" max="5" width="9.7109375" bestFit="1" customWidth="1"/>
    <col min="6" max="6" width="19.28515625" customWidth="1"/>
    <col min="8" max="8" width="21.28515625" customWidth="1"/>
    <col min="10" max="10" width="18.85546875" customWidth="1"/>
  </cols>
  <sheetData>
    <row r="1" spans="1:10" ht="23.25">
      <c r="A1" s="12" t="s">
        <v>24</v>
      </c>
      <c r="B1" s="12"/>
      <c r="D1" s="13" t="s">
        <v>2</v>
      </c>
      <c r="F1" s="13" t="s">
        <v>11</v>
      </c>
      <c r="H1" s="13" t="s">
        <v>3</v>
      </c>
      <c r="J1" s="13" t="s">
        <v>12</v>
      </c>
    </row>
    <row r="2" spans="1:10" ht="21">
      <c r="A2" s="7" t="s">
        <v>25</v>
      </c>
      <c r="D2" s="14">
        <v>120</v>
      </c>
      <c r="F2" s="15">
        <v>0.9</v>
      </c>
      <c r="H2" s="16">
        <v>226400</v>
      </c>
      <c r="J2" s="15">
        <v>0.1</v>
      </c>
    </row>
    <row r="3" spans="1:10">
      <c r="A3" s="2" t="s">
        <v>0</v>
      </c>
      <c r="B3" s="2" t="s">
        <v>1</v>
      </c>
      <c r="D3" s="6" t="s">
        <v>13</v>
      </c>
      <c r="E3" s="6" t="s">
        <v>14</v>
      </c>
    </row>
    <row r="4" spans="1:10">
      <c r="A4" s="8" t="s">
        <v>2</v>
      </c>
      <c r="B4" s="9">
        <v>120</v>
      </c>
      <c r="D4" s="3" t="s">
        <v>15</v>
      </c>
      <c r="E4" s="3">
        <v>108</v>
      </c>
    </row>
    <row r="5" spans="1:10">
      <c r="A5" s="8" t="s">
        <v>3</v>
      </c>
      <c r="B5" s="10">
        <v>226400</v>
      </c>
      <c r="D5" s="3" t="s">
        <v>16</v>
      </c>
      <c r="E5" s="3">
        <v>6</v>
      </c>
    </row>
    <row r="6" spans="1:10">
      <c r="A6" s="8" t="s">
        <v>4</v>
      </c>
      <c r="B6" s="9">
        <v>108</v>
      </c>
      <c r="D6" s="3" t="s">
        <v>17</v>
      </c>
      <c r="E6" s="3">
        <v>6</v>
      </c>
    </row>
    <row r="7" spans="1:10">
      <c r="A7" s="8" t="s">
        <v>5</v>
      </c>
      <c r="B7" s="9">
        <v>6</v>
      </c>
    </row>
    <row r="8" spans="1:10">
      <c r="A8" s="8" t="s">
        <v>6</v>
      </c>
      <c r="B8" s="9">
        <v>6</v>
      </c>
    </row>
    <row r="9" spans="1:10">
      <c r="A9" s="8" t="s">
        <v>7</v>
      </c>
      <c r="B9" s="10">
        <v>600</v>
      </c>
      <c r="D9" s="6" t="s">
        <v>18</v>
      </c>
      <c r="E9" s="6" t="s">
        <v>14</v>
      </c>
    </row>
    <row r="10" spans="1:10">
      <c r="A10" s="8" t="s">
        <v>8</v>
      </c>
      <c r="B10" s="9">
        <v>5</v>
      </c>
      <c r="D10" s="3" t="s">
        <v>19</v>
      </c>
      <c r="E10" s="3">
        <v>6</v>
      </c>
    </row>
    <row r="11" spans="1:10">
      <c r="A11" s="8" t="s">
        <v>9</v>
      </c>
      <c r="B11" s="9">
        <v>2</v>
      </c>
      <c r="D11" s="3" t="s">
        <v>20</v>
      </c>
      <c r="E11" s="3">
        <v>6</v>
      </c>
    </row>
    <row r="12" spans="1:10">
      <c r="A12" s="8" t="s">
        <v>10</v>
      </c>
      <c r="B12" s="9">
        <v>1</v>
      </c>
      <c r="D12" s="3" t="s">
        <v>21</v>
      </c>
      <c r="E12" s="3">
        <v>5</v>
      </c>
    </row>
    <row r="13" spans="1:10" ht="18.75">
      <c r="A13" s="8" t="s">
        <v>11</v>
      </c>
      <c r="B13" s="11">
        <f>B6/B4</f>
        <v>0.9</v>
      </c>
      <c r="D13" s="3" t="s">
        <v>22</v>
      </c>
      <c r="E13" s="3">
        <v>2</v>
      </c>
    </row>
    <row r="14" spans="1:10" ht="18.75">
      <c r="A14" s="8" t="s">
        <v>12</v>
      </c>
      <c r="B14" s="11">
        <f>(B7+B8)/B4</f>
        <v>0.1</v>
      </c>
    </row>
    <row r="15" spans="1:10">
      <c r="A15" s="8" t="s">
        <v>23</v>
      </c>
      <c r="B15" s="10">
        <f>B9/B8</f>
        <v>100</v>
      </c>
      <c r="D15" s="6" t="s">
        <v>34</v>
      </c>
      <c r="E15" s="6" t="s">
        <v>35</v>
      </c>
    </row>
    <row r="16" spans="1:10">
      <c r="A16" s="8" t="s">
        <v>36</v>
      </c>
      <c r="B16" s="10">
        <f>B5-B9</f>
        <v>225800</v>
      </c>
      <c r="D16" s="3" t="s">
        <v>7</v>
      </c>
      <c r="E16" s="4">
        <v>600</v>
      </c>
    </row>
    <row r="17" spans="1:5">
      <c r="D17" s="3" t="s">
        <v>33</v>
      </c>
      <c r="E17" s="4">
        <v>8000</v>
      </c>
    </row>
    <row r="19" spans="1:5">
      <c r="D19" t="s">
        <v>8</v>
      </c>
      <c r="E19">
        <v>5</v>
      </c>
    </row>
    <row r="20" spans="1:5">
      <c r="D20" t="s">
        <v>9</v>
      </c>
      <c r="E20">
        <v>2</v>
      </c>
    </row>
    <row r="21" spans="1:5">
      <c r="D21" t="s">
        <v>10</v>
      </c>
      <c r="E21">
        <v>1</v>
      </c>
    </row>
    <row r="26" spans="1:5">
      <c r="A26" t="s">
        <v>33</v>
      </c>
      <c r="B26" s="1">
        <v>8000</v>
      </c>
    </row>
    <row r="28" spans="1:5">
      <c r="A28" t="s">
        <v>37</v>
      </c>
    </row>
    <row r="29" spans="1:5" s="5" customFormat="1" ht="105">
      <c r="A29" s="5" t="s">
        <v>38</v>
      </c>
    </row>
    <row r="31" spans="1:5">
      <c r="A31" t="s">
        <v>26</v>
      </c>
    </row>
    <row r="32" spans="1:5">
      <c r="A32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7" spans="1:1">
      <c r="A37" t="s">
        <v>32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2026-08-25T10:01:10Z</dcterms:created>
  <dcterms:modified xsi:type="dcterms:W3CDTF">2026-08-26T12:15:39Z</dcterms:modified>
</cp:coreProperties>
</file>